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Options" sheetId="3" state="visible" r:id="rId3"/>
    <sheet xmlns:r="http://schemas.openxmlformats.org/officeDocument/2006/relationships" name="Backlog WSJF" sheetId="4" state="visible" r:id="rId4"/>
    <sheet xmlns:r="http://schemas.openxmlformats.org/officeDocument/2006/relationships" name="BAT log" sheetId="5" state="visible" r:id="rId5"/>
    <sheet xmlns:r="http://schemas.openxmlformats.org/officeDocument/2006/relationships" name="Trace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6D6"/>
      </patternFill>
    </fill>
    <fill>
      <patternFill patternType="solid">
        <fgColor rgb="001D5E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vertical="top" wrapText="1"/>
    </xf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8" customWidth="1" min="3" max="3"/>
  </cols>
  <sheetData>
    <row r="1">
      <c r="A1" s="1" t="inlineStr">
        <is>
          <t>Business case — exception management (option O3)</t>
        </is>
      </c>
    </row>
    <row r="2">
      <c r="A2" t="inlineStr">
        <is>
          <t>Illustrative assumptions for a fictional organisation — not real company data. Yellow cells are inputs; everything else is calculated.</t>
        </is>
      </c>
    </row>
    <row r="4">
      <c r="A4" s="2" t="inlineStr">
        <is>
          <t>Inputs</t>
        </is>
      </c>
    </row>
    <row r="5">
      <c r="A5" t="inlineStr">
        <is>
          <t>WISMO contacts per week</t>
        </is>
      </c>
      <c r="B5" s="3" t="n">
        <v>1250</v>
      </c>
      <c r="C5" t="inlineStr">
        <is>
          <t>contact-reason tagging, 2 weeks</t>
        </is>
      </c>
    </row>
    <row r="6">
      <c r="A6" t="inlineStr">
        <is>
          <t>Handling time per contact (min)</t>
        </is>
      </c>
      <c r="B6" s="3" t="n">
        <v>6</v>
      </c>
      <c r="C6" t="inlineStr">
        <is>
          <t>telephony report</t>
        </is>
      </c>
    </row>
    <row r="7">
      <c r="A7" t="inlineStr">
        <is>
          <t>Loaded cost customer service (EUR/h)</t>
        </is>
      </c>
      <c r="B7" s="3" t="n">
        <v>42</v>
      </c>
      <c r="C7" t="inlineStr">
        <is>
          <t>finance</t>
        </is>
      </c>
    </row>
    <row r="8">
      <c r="A8" t="inlineStr">
        <is>
          <t>Expected WISMO reduction</t>
        </is>
      </c>
      <c r="B8" s="4" t="n">
        <v>0.35</v>
      </c>
      <c r="C8" t="inlineStr">
        <is>
          <t>riskiest assumption — measured in the pilot</t>
        </is>
      </c>
    </row>
    <row r="9">
      <c r="A9" t="inlineStr">
        <is>
          <t>Missed delivery slots per week</t>
        </is>
      </c>
      <c r="B9" s="3" t="n">
        <v>55</v>
      </c>
      <c r="C9" t="inlineStr">
        <is>
          <t>planner log + credit notes</t>
        </is>
      </c>
    </row>
    <row r="10">
      <c r="A10" t="inlineStr">
        <is>
          <t>Cost per missed slot (EUR)</t>
        </is>
      </c>
      <c r="B10" s="3" t="n">
        <v>140</v>
      </c>
      <c r="C10" t="inlineStr">
        <is>
          <t>credit notes, 3 months</t>
        </is>
      </c>
    </row>
    <row r="11">
      <c r="A11" t="inlineStr">
        <is>
          <t>Expected missed-slot reduction</t>
        </is>
      </c>
      <c r="B11" s="4" t="n">
        <v>0.3</v>
      </c>
      <c r="C11" t="inlineStr">
        <is>
          <t>planning lead estimate</t>
        </is>
      </c>
    </row>
    <row r="12">
      <c r="A12" t="inlineStr">
        <is>
          <t>Weeks per year</t>
        </is>
      </c>
      <c r="B12" s="3" t="n">
        <v>50</v>
      </c>
      <c r="C12" t="inlineStr"/>
    </row>
    <row r="13">
      <c r="A13" t="inlineStr">
        <is>
          <t>Sprint cost (EUR, team of 8 for 2 weeks)</t>
        </is>
      </c>
      <c r="B13" s="3" t="n">
        <v>38000</v>
      </c>
      <c r="C13" t="inlineStr"/>
    </row>
    <row r="14">
      <c r="A14" t="inlineStr">
        <is>
          <t>Sprints (R1 + R2)</t>
        </is>
      </c>
      <c r="B14" s="3" t="n">
        <v>4</v>
      </c>
      <c r="C14" t="inlineStr">
        <is>
          <t>R1 = 2 sprints, R2 = 2 sprints</t>
        </is>
      </c>
    </row>
    <row r="15">
      <c r="A15" t="inlineStr">
        <is>
          <t>TMS supplier set-up (EUR)</t>
        </is>
      </c>
      <c r="B15" s="3" t="n">
        <v>25000</v>
      </c>
      <c r="C15" t="inlineStr">
        <is>
          <t>quote</t>
        </is>
      </c>
    </row>
    <row r="16">
      <c r="A16" t="inlineStr">
        <is>
          <t>Notification set-up (EUR)</t>
        </is>
      </c>
      <c r="B16" s="3" t="n">
        <v>8000</v>
      </c>
      <c r="C16" t="inlineStr">
        <is>
          <t>estimate</t>
        </is>
      </c>
    </row>
    <row r="17">
      <c r="A17" t="inlineStr">
        <is>
          <t>BAT, training, pilot support (EUR)</t>
        </is>
      </c>
      <c r="B17" s="3" t="n">
        <v>10000</v>
      </c>
      <c r="C17" t="inlineStr">
        <is>
          <t>2 x 5k</t>
        </is>
      </c>
    </row>
    <row r="18">
      <c r="A18" t="inlineStr">
        <is>
          <t>Yearly running cost (EUR)</t>
        </is>
      </c>
      <c r="B18" s="3" t="n">
        <v>34000</v>
      </c>
      <c r="C18" t="inlineStr">
        <is>
          <t>API licence 18k + 0.2 FTE support 16k</t>
        </is>
      </c>
    </row>
    <row r="20">
      <c r="A20" s="2" t="inlineStr">
        <is>
          <t>Results</t>
        </is>
      </c>
    </row>
    <row r="21">
      <c r="A21" t="inlineStr">
        <is>
          <t>CS hours per week on WISMO</t>
        </is>
      </c>
      <c r="B21" s="5">
        <f>B5*B6/60</f>
        <v/>
      </c>
    </row>
    <row r="22">
      <c r="A22" t="inlineStr">
        <is>
          <t>Benefit: customer-service time (EUR/yr)</t>
        </is>
      </c>
      <c r="B22" s="6">
        <f>B5*B6/60*B8*B7*B12</f>
        <v/>
      </c>
    </row>
    <row r="23">
      <c r="A23" t="inlineStr">
        <is>
          <t>Benefit: fewer missed slots (EUR/yr)</t>
        </is>
      </c>
      <c r="B23" s="6">
        <f>B9*B11*B10*B12</f>
        <v/>
      </c>
    </row>
    <row r="24">
      <c r="A24" t="inlineStr">
        <is>
          <t>Total benefits (EUR/yr)</t>
        </is>
      </c>
      <c r="B24" s="6">
        <f>B22+B23</f>
        <v/>
      </c>
    </row>
    <row r="25">
      <c r="A25" t="inlineStr">
        <is>
          <t>One-off cost (EUR)</t>
        </is>
      </c>
      <c r="B25" s="6">
        <f>B13*B14+B15+B16+B17</f>
        <v/>
      </c>
    </row>
    <row r="26">
      <c r="A26" t="inlineStr">
        <is>
          <t>Net benefit (EUR/yr)</t>
        </is>
      </c>
      <c r="B26" s="6">
        <f>B24-B18</f>
        <v/>
      </c>
    </row>
    <row r="27">
      <c r="A27" t="inlineStr">
        <is>
          <t>Payback (months)</t>
        </is>
      </c>
      <c r="B27" s="7">
        <f>B25/B26*12</f>
        <v/>
      </c>
    </row>
    <row r="28">
      <c r="A28" t="inlineStr">
        <is>
          <t>Release 1 pilot cost (EUR)</t>
        </is>
      </c>
      <c r="B28" s="6">
        <f>2*B13+B15+B16+B17/2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0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Sensitivity — the riskiest assumption</t>
        </is>
      </c>
    </row>
    <row r="2">
      <c r="A2" t="inlineStr">
        <is>
          <t>Illustrative assumptions for a fictional organisation — not real company data.</t>
        </is>
      </c>
    </row>
    <row r="4">
      <c r="A4" s="8" t="inlineStr">
        <is>
          <t>Scenario</t>
        </is>
      </c>
      <c r="B4" s="8" t="inlineStr">
        <is>
          <t>WISMO reduction</t>
        </is>
      </c>
      <c r="C4" s="8" t="inlineStr">
        <is>
          <t>Missed-slot reduction</t>
        </is>
      </c>
      <c r="D4" s="8" t="inlineStr">
        <is>
          <t>Benefits / year (EUR)</t>
        </is>
      </c>
      <c r="E4" s="8" t="inlineStr">
        <is>
          <t>Net / year (EUR)</t>
        </is>
      </c>
      <c r="F4" s="8" t="inlineStr">
        <is>
          <t>Payback (months)</t>
        </is>
      </c>
    </row>
    <row r="5">
      <c r="A5" t="inlineStr">
        <is>
          <t>Pessimistic</t>
        </is>
      </c>
      <c r="B5" s="4" t="n">
        <v>0.2</v>
      </c>
      <c r="C5" s="4" t="n">
        <v>0.15</v>
      </c>
      <c r="D5" s="6">
        <f>'Business case'!B5*'Business case'!B6/60*B5*'Business case'!B7*'Business case'!B12+'Business case'!B9*C5*'Business case'!B10*'Business case'!B12</f>
        <v/>
      </c>
      <c r="E5" s="6">
        <f>D5-'Business case'!B18</f>
        <v/>
      </c>
      <c r="F5" s="7">
        <f>'Business case'!B25/E5*12</f>
        <v/>
      </c>
    </row>
    <row r="6">
      <c r="A6" t="inlineStr">
        <is>
          <t>Expected</t>
        </is>
      </c>
      <c r="B6" s="4" t="n">
        <v>0.35</v>
      </c>
      <c r="C6" s="4" t="n">
        <v>0.3</v>
      </c>
      <c r="D6" s="6">
        <f>'Business case'!B5*'Business case'!B6/60*B6*'Business case'!B7*'Business case'!B12+'Business case'!B9*C6*'Business case'!B10*'Business case'!B12</f>
        <v/>
      </c>
      <c r="E6" s="6">
        <f>D6-'Business case'!B18</f>
        <v/>
      </c>
      <c r="F6" s="7">
        <f>'Business case'!B25/E6*12</f>
        <v/>
      </c>
    </row>
    <row r="7">
      <c r="A7" t="inlineStr">
        <is>
          <t>Optimistic</t>
        </is>
      </c>
      <c r="B7" s="4" t="n">
        <v>0.5</v>
      </c>
      <c r="C7" s="4" t="n">
        <v>0.4</v>
      </c>
      <c r="D7" s="6">
        <f>'Business case'!B5*'Business case'!B6/60*B7*'Business case'!B7*'Business case'!B12+'Business case'!B9*C7*'Business case'!B10*'Business case'!B12</f>
        <v/>
      </c>
      <c r="E7" s="6">
        <f>D7-'Business case'!B18</f>
        <v/>
      </c>
      <c r="F7" s="7">
        <f>'Business case'!B25/E7*12</f>
        <v/>
      </c>
    </row>
    <row r="8">
      <c r="A8" t="inlineStr">
        <is>
          <t>Pilot readout (illustrative)</t>
        </is>
      </c>
      <c r="B8" s="4" t="n">
        <v>0.26</v>
      </c>
      <c r="C8" s="4" t="n">
        <v>0.21</v>
      </c>
      <c r="D8" s="6">
        <f>'Business case'!B5*'Business case'!B6/60*B8*'Business case'!B7*'Business case'!B12+'Business case'!B9*C8*'Business case'!B10*'Business case'!B12</f>
        <v/>
      </c>
      <c r="E8" s="6">
        <f>D8-'Business case'!B18</f>
        <v/>
      </c>
      <c r="F8" s="7">
        <f>'Business case'!B25/E8*12</f>
        <v/>
      </c>
    </row>
    <row r="10">
      <c r="A10" t="inlineStr">
        <is>
          <t>Stage gate (D-07): fund release 2 if WISMO reduction against the control group is at least 20%.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24" customWidth="1" min="4" max="4"/>
    <col width="24" customWidth="1" min="5" max="5"/>
    <col width="22" customWidth="1" min="6" max="6"/>
  </cols>
  <sheetData>
    <row r="1">
      <c r="A1" s="1" t="inlineStr">
        <is>
          <t>Option scoring (1 = poor, 5 = good) — weights agreed before scoring</t>
        </is>
      </c>
    </row>
    <row r="3">
      <c r="A3" s="8" t="inlineStr">
        <is>
          <t>Criterion</t>
        </is>
      </c>
      <c r="B3" s="8" t="inlineStr">
        <is>
          <t>Weight</t>
        </is>
      </c>
      <c r="C3" s="8" t="inlineStr">
        <is>
          <t>O1 Do nothing + agent</t>
        </is>
      </c>
      <c r="D3" s="8" t="inlineStr">
        <is>
          <t>O2 Standard TMS e-mails</t>
        </is>
      </c>
      <c r="E3" s="8" t="inlineStr">
        <is>
          <t>O3 Exception management</t>
        </is>
      </c>
      <c r="F3" s="8" t="inlineStr">
        <is>
          <t>O4 Visibility platform</t>
        </is>
      </c>
    </row>
    <row r="4">
      <c r="A4" t="inlineStr">
        <is>
          <t>Fixes the root cause</t>
        </is>
      </c>
      <c r="B4" s="9" t="n">
        <v>0.3</v>
      </c>
      <c r="C4" t="n">
        <v>1</v>
      </c>
      <c r="D4" t="n">
        <v>2</v>
      </c>
      <c r="E4" t="n">
        <v>5</v>
      </c>
      <c r="F4" t="n">
        <v>3</v>
      </c>
    </row>
    <row r="5">
      <c r="A5" t="inlineStr">
        <is>
          <t>Customer experience</t>
        </is>
      </c>
      <c r="B5" s="9" t="n">
        <v>0.25</v>
      </c>
      <c r="C5" t="n">
        <v>2</v>
      </c>
      <c r="D5" t="n">
        <v>2</v>
      </c>
      <c r="E5" t="n">
        <v>4</v>
      </c>
      <c r="F5" t="n">
        <v>5</v>
      </c>
    </row>
    <row r="6">
      <c r="A6" t="inlineStr">
        <is>
          <t>Cost over 3 years</t>
        </is>
      </c>
      <c r="B6" s="9" t="n">
        <v>0.2</v>
      </c>
      <c r="C6" t="n">
        <v>3</v>
      </c>
      <c r="D6" t="n">
        <v>5</v>
      </c>
      <c r="E6" t="n">
        <v>3</v>
      </c>
      <c r="F6" t="n">
        <v>1</v>
      </c>
    </row>
    <row r="7">
      <c r="A7" t="inlineStr">
        <is>
          <t>Delivery risk / dependency</t>
        </is>
      </c>
      <c r="B7" s="9" t="n">
        <v>0.15</v>
      </c>
      <c r="C7" t="n">
        <v>5</v>
      </c>
      <c r="D7" t="n">
        <v>4</v>
      </c>
      <c r="E7" t="n">
        <v>3</v>
      </c>
      <c r="F7" t="n">
        <v>2</v>
      </c>
    </row>
    <row r="8">
      <c r="A8" t="inlineStr">
        <is>
          <t>Fit with the new TMS</t>
        </is>
      </c>
      <c r="B8" s="9" t="n">
        <v>0.1</v>
      </c>
      <c r="C8" t="n">
        <v>3</v>
      </c>
      <c r="D8" t="n">
        <v>4</v>
      </c>
      <c r="E8" t="n">
        <v>4</v>
      </c>
      <c r="F8" t="n">
        <v>2</v>
      </c>
    </row>
    <row r="9">
      <c r="A9" s="2" t="inlineStr">
        <is>
          <t>Weighted score</t>
        </is>
      </c>
      <c r="C9" s="10">
        <f>SUMPRODUCT($B$4:$B$8,C4:C8)</f>
        <v/>
      </c>
      <c r="D9" s="10">
        <f>SUMPRODUCT($B$4:$B$8,D4:D8)</f>
        <v/>
      </c>
      <c r="E9" s="10">
        <f>SUMPRODUCT($B$4:$B$8,E4:E8)</f>
        <v/>
      </c>
      <c r="F9" s="10">
        <f>SUMPRODUCT($B$4:$B$8,F4:F8)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4" customWidth="1" min="4" max="4"/>
    <col width="20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Backlog — WSJF = (business value + time criticality + risk reduction/enablement) / size</t>
        </is>
      </c>
    </row>
    <row r="3">
      <c r="A3" s="8" t="inlineStr">
        <is>
          <t>ID</t>
        </is>
      </c>
      <c r="B3" s="8" t="inlineStr">
        <is>
          <t>Item</t>
        </is>
      </c>
      <c r="C3" s="8" t="inlineStr">
        <is>
          <t>Business value</t>
        </is>
      </c>
      <c r="D3" s="8" t="inlineStr">
        <is>
          <t>Time criticality</t>
        </is>
      </c>
      <c r="E3" s="8" t="inlineStr">
        <is>
          <t>Risk reduction / enablement</t>
        </is>
      </c>
      <c r="F3" s="8" t="inlineStr">
        <is>
          <t>Size (pts)</t>
        </is>
      </c>
      <c r="G3" s="8" t="inlineStr">
        <is>
          <t>Cost of delay</t>
        </is>
      </c>
      <c r="H3" s="8" t="inlineStr">
        <is>
          <t>WSJF</t>
        </is>
      </c>
      <c r="I3" s="8" t="inlineStr">
        <is>
          <t>Release</t>
        </is>
      </c>
    </row>
    <row r="4">
      <c r="A4" t="inlineStr">
        <is>
          <t>EN-2</t>
        </is>
      </c>
      <c r="B4" t="inlineStr">
        <is>
          <t>Delivery window mandatory for pilot customers</t>
        </is>
      </c>
      <c r="C4" t="n">
        <v>2</v>
      </c>
      <c r="D4" t="n">
        <v>5</v>
      </c>
      <c r="E4" t="n">
        <v>8</v>
      </c>
      <c r="F4" t="n">
        <v>1</v>
      </c>
      <c r="G4">
        <f>C4+D4+E4</f>
        <v/>
      </c>
      <c r="H4" s="7">
        <f>ROUND(G4/F4,1)</f>
        <v/>
      </c>
      <c r="I4" t="inlineStr">
        <is>
          <t>R1</t>
        </is>
      </c>
    </row>
    <row r="5">
      <c r="A5" t="inlineStr">
        <is>
          <t>US-07</t>
        </is>
      </c>
      <c r="B5" t="inlineStr">
        <is>
          <t>No message storm (throttling)</t>
        </is>
      </c>
      <c r="C5" t="n">
        <v>5</v>
      </c>
      <c r="D5" t="n">
        <v>5</v>
      </c>
      <c r="E5" t="n">
        <v>8</v>
      </c>
      <c r="F5" t="n">
        <v>2</v>
      </c>
      <c r="G5">
        <f>C5+D5+E5</f>
        <v/>
      </c>
      <c r="H5" s="7">
        <f>ROUND(G5/F5,1)</f>
        <v/>
      </c>
      <c r="I5" t="inlineStr">
        <is>
          <t>R1</t>
        </is>
      </c>
    </row>
    <row r="6">
      <c r="A6" t="inlineStr">
        <is>
          <t>US-13</t>
        </is>
      </c>
      <c r="B6" t="inlineStr">
        <is>
          <t>Pilot toggle and measurement</t>
        </is>
      </c>
      <c r="C6" t="n">
        <v>3</v>
      </c>
      <c r="D6" t="n">
        <v>8</v>
      </c>
      <c r="E6" t="n">
        <v>13</v>
      </c>
      <c r="F6" t="n">
        <v>3</v>
      </c>
      <c r="G6">
        <f>C6+D6+E6</f>
        <v/>
      </c>
      <c r="H6" s="7">
        <f>ROUND(G6/F6,1)</f>
        <v/>
      </c>
      <c r="I6" t="inlineStr">
        <is>
          <t>R1</t>
        </is>
      </c>
    </row>
    <row r="7">
      <c r="A7" t="inlineStr">
        <is>
          <t>EN-1</t>
        </is>
      </c>
      <c r="B7" t="inlineStr">
        <is>
          <t>Receive TMS changes reliably</t>
        </is>
      </c>
      <c r="C7" t="n">
        <v>1</v>
      </c>
      <c r="D7" t="n">
        <v>8</v>
      </c>
      <c r="E7" t="n">
        <v>13</v>
      </c>
      <c r="F7" t="n">
        <v>3</v>
      </c>
      <c r="G7">
        <f>C7+D7+E7</f>
        <v/>
      </c>
      <c r="H7" s="7">
        <f>ROUND(G7/F7,1)</f>
        <v/>
      </c>
      <c r="I7" t="inlineStr">
        <is>
          <t>R1</t>
        </is>
      </c>
    </row>
    <row r="8">
      <c r="A8" t="inlineStr">
        <is>
          <t>US-02</t>
        </is>
      </c>
      <c r="B8" t="inlineStr">
        <is>
          <t>Owner and response time</t>
        </is>
      </c>
      <c r="C8" t="n">
        <v>5</v>
      </c>
      <c r="D8" t="n">
        <v>3</v>
      </c>
      <c r="E8" t="n">
        <v>5</v>
      </c>
      <c r="F8" t="n">
        <v>2</v>
      </c>
      <c r="G8">
        <f>C8+D8+E8</f>
        <v/>
      </c>
      <c r="H8" s="7">
        <f>ROUND(G8/F8,1)</f>
        <v/>
      </c>
      <c r="I8" t="inlineStr">
        <is>
          <t>R1</t>
        </is>
      </c>
    </row>
    <row r="9">
      <c r="A9" t="inlineStr">
        <is>
          <t>US-05</t>
        </is>
      </c>
      <c r="B9" t="inlineStr">
        <is>
          <t>Proactive customer message</t>
        </is>
      </c>
      <c r="C9" t="n">
        <v>13</v>
      </c>
      <c r="D9" t="n">
        <v>8</v>
      </c>
      <c r="E9" t="n">
        <v>8</v>
      </c>
      <c r="F9" t="n">
        <v>5</v>
      </c>
      <c r="G9">
        <f>C9+D9+E9</f>
        <v/>
      </c>
      <c r="H9" s="7">
        <f>ROUND(G9/F9,1)</f>
        <v/>
      </c>
      <c r="I9" t="inlineStr">
        <is>
          <t>R1</t>
        </is>
      </c>
    </row>
    <row r="10">
      <c r="A10" t="inlineStr">
        <is>
          <t>US-04</t>
        </is>
      </c>
      <c r="B10" t="inlineStr">
        <is>
          <t>Acknowledge, re-plan, resolve</t>
        </is>
      </c>
      <c r="C10" t="n">
        <v>5</v>
      </c>
      <c r="D10" t="n">
        <v>3</v>
      </c>
      <c r="E10" t="n">
        <v>8</v>
      </c>
      <c r="F10" t="n">
        <v>3</v>
      </c>
      <c r="G10">
        <f>C10+D10+E10</f>
        <v/>
      </c>
      <c r="H10" s="7">
        <f>ROUND(G10/F10,1)</f>
        <v/>
      </c>
      <c r="I10" t="inlineStr">
        <is>
          <t>R1</t>
        </is>
      </c>
    </row>
    <row r="11">
      <c r="A11" t="inlineStr">
        <is>
          <t>US-08</t>
        </is>
      </c>
      <c r="B11" t="inlineStr">
        <is>
          <t>Missing status: confirm first</t>
        </is>
      </c>
      <c r="C11" t="n">
        <v>5</v>
      </c>
      <c r="D11" t="n">
        <v>3</v>
      </c>
      <c r="E11" t="n">
        <v>8</v>
      </c>
      <c r="F11" t="n">
        <v>3</v>
      </c>
      <c r="G11">
        <f>C11+D11+E11</f>
        <v/>
      </c>
      <c r="H11" s="7">
        <f>ROUND(G11/F11,1)</f>
        <v/>
      </c>
      <c r="I11" t="inlineStr">
        <is>
          <t>R1</t>
        </is>
      </c>
    </row>
    <row r="12">
      <c r="A12" t="inlineStr">
        <is>
          <t>US-01</t>
        </is>
      </c>
      <c r="B12" t="inlineStr">
        <is>
          <t>Classify a change</t>
        </is>
      </c>
      <c r="C12" t="n">
        <v>8</v>
      </c>
      <c r="D12" t="n">
        <v>5</v>
      </c>
      <c r="E12" t="n">
        <v>13</v>
      </c>
      <c r="F12" t="n">
        <v>5</v>
      </c>
      <c r="G12">
        <f>C12+D12+E12</f>
        <v/>
      </c>
      <c r="H12" s="7">
        <f>ROUND(G12/F12,1)</f>
        <v/>
      </c>
      <c r="I12" t="inlineStr">
        <is>
          <t>R1</t>
        </is>
      </c>
    </row>
    <row r="13">
      <c r="A13" t="inlineStr">
        <is>
          <t>US-11</t>
        </is>
      </c>
      <c r="B13" t="inlineStr">
        <is>
          <t>Call task for key accounts</t>
        </is>
      </c>
      <c r="C13" t="n">
        <v>5</v>
      </c>
      <c r="D13" t="n">
        <v>3</v>
      </c>
      <c r="E13" t="n">
        <v>2</v>
      </c>
      <c r="F13" t="n">
        <v>2</v>
      </c>
      <c r="G13">
        <f>C13+D13+E13</f>
        <v/>
      </c>
      <c r="H13" s="7">
        <f>ROUND(G13/F13,1)</f>
        <v/>
      </c>
      <c r="I13" t="inlineStr">
        <is>
          <t>R1</t>
        </is>
      </c>
    </row>
    <row r="14">
      <c r="A14" t="inlineStr">
        <is>
          <t>US-10</t>
        </is>
      </c>
      <c r="B14" t="inlineStr">
        <is>
          <t>Back on schedule</t>
        </is>
      </c>
      <c r="C14" t="n">
        <v>3</v>
      </c>
      <c r="D14" t="n">
        <v>2</v>
      </c>
      <c r="E14" t="n">
        <v>3</v>
      </c>
      <c r="F14" t="n">
        <v>2</v>
      </c>
      <c r="G14">
        <f>C14+D14+E14</f>
        <v/>
      </c>
      <c r="H14" s="7">
        <f>ROUND(G14/F14,1)</f>
        <v/>
      </c>
      <c r="I14" t="inlineStr">
        <is>
          <t>R1</t>
        </is>
      </c>
    </row>
    <row r="15">
      <c r="A15" t="inlineStr">
        <is>
          <t>US-03</t>
        </is>
      </c>
      <c r="B15" t="inlineStr">
        <is>
          <t>Workbench (list + escalation)</t>
        </is>
      </c>
      <c r="C15" t="n">
        <v>8</v>
      </c>
      <c r="D15" t="n">
        <v>5</v>
      </c>
      <c r="E15" t="n">
        <v>5</v>
      </c>
      <c r="F15" t="n">
        <v>5</v>
      </c>
      <c r="G15">
        <f>C15+D15+E15</f>
        <v/>
      </c>
      <c r="H15" s="7">
        <f>ROUND(G15/F15,1)</f>
        <v/>
      </c>
      <c r="I15" t="inlineStr">
        <is>
          <t>R1</t>
        </is>
      </c>
    </row>
    <row r="16">
      <c r="A16" t="inlineStr">
        <is>
          <t>US-09</t>
        </is>
      </c>
      <c r="B16" t="inlineStr">
        <is>
          <t>Customs hold, action required</t>
        </is>
      </c>
      <c r="C16" t="n">
        <v>5</v>
      </c>
      <c r="D16" t="n">
        <v>2</v>
      </c>
      <c r="E16" t="n">
        <v>3</v>
      </c>
      <c r="F16" t="n">
        <v>5</v>
      </c>
      <c r="G16">
        <f>C16+D16+E16</f>
        <v/>
      </c>
      <c r="H16" s="7">
        <f>ROUND(G16/F16,1)</f>
        <v/>
      </c>
      <c r="I16" t="inlineStr">
        <is>
          <t>R2</t>
        </is>
      </c>
    </row>
    <row r="17">
      <c r="A17" t="inlineStr">
        <is>
          <t>US-06</t>
        </is>
      </c>
      <c r="B17" t="inlineStr">
        <is>
          <t>EDI/API status messages</t>
        </is>
      </c>
      <c r="C17" t="n">
        <v>8</v>
      </c>
      <c r="D17" t="n">
        <v>3</v>
      </c>
      <c r="E17" t="n">
        <v>3</v>
      </c>
      <c r="F17" t="n">
        <v>8</v>
      </c>
      <c r="G17">
        <f>C17+D17+E17</f>
        <v/>
      </c>
      <c r="H17" s="7">
        <f>ROUND(G17/F17,1)</f>
        <v/>
      </c>
      <c r="I17" t="inlineStr">
        <is>
          <t>R2</t>
        </is>
      </c>
    </row>
    <row r="18">
      <c r="A18" t="inlineStr">
        <is>
          <t>US-12</t>
        </is>
      </c>
      <c r="B18" t="inlineStr">
        <is>
          <t>Notification preferences in the portal</t>
        </is>
      </c>
      <c r="C18" t="n">
        <v>3</v>
      </c>
      <c r="D18" t="n">
        <v>1</v>
      </c>
      <c r="E18" t="n">
        <v>2</v>
      </c>
      <c r="F18" t="n">
        <v>5</v>
      </c>
      <c r="G18">
        <f>C18+D18+E18</f>
        <v/>
      </c>
      <c r="H18" s="7">
        <f>ROUND(G18/F18,1)</f>
        <v/>
      </c>
      <c r="I18" t="inlineStr">
        <is>
          <t>R2</t>
        </is>
      </c>
    </row>
    <row r="19">
      <c r="A19" t="inlineStr">
        <is>
          <t>US-14</t>
        </is>
      </c>
      <c r="B19" t="inlineStr">
        <is>
          <t>Consignee notifications</t>
        </is>
      </c>
      <c r="C19" t="n">
        <v>8</v>
      </c>
      <c r="D19" t="n">
        <v>1</v>
      </c>
      <c r="E19" t="n">
        <v>2</v>
      </c>
      <c r="F19" t="n">
        <v>13</v>
      </c>
      <c r="G19">
        <f>C19+D19+E19</f>
        <v/>
      </c>
      <c r="H19" s="7">
        <f>ROUND(G19/F19,1)</f>
        <v/>
      </c>
      <c r="I19" t="inlineStr">
        <is>
          <t>R3</t>
        </is>
      </c>
    </row>
    <row r="21">
      <c r="A21" s="2" t="inlineStr">
        <is>
          <t>Release 1 points</t>
        </is>
      </c>
      <c r="F21">
        <f>SUMIF(I4:I19,"R1",F4:F19)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14" customWidth="1" min="4" max="4"/>
    <col width="8" customWidth="1" min="5" max="5"/>
    <col width="38" customWidth="1" min="6" max="6"/>
    <col width="8" customWidth="1" min="7" max="7"/>
    <col width="22" customWidth="1" min="8" max="8"/>
  </cols>
  <sheetData>
    <row r="1">
      <c r="A1" s="1" t="inlineStr">
        <is>
          <t>Business Acceptance Testing — execution log (simulated)</t>
        </is>
      </c>
    </row>
    <row r="3">
      <c r="A3" s="8" t="inlineStr">
        <is>
          <t>ID</t>
        </is>
      </c>
      <c r="B3" s="8" t="inlineStr">
        <is>
          <t>Scenario</t>
        </is>
      </c>
      <c r="C3" s="8" t="inlineStr">
        <is>
          <t>Key user</t>
        </is>
      </c>
      <c r="D3" s="8" t="inlineStr">
        <is>
          <t>Stories</t>
        </is>
      </c>
      <c r="E3" s="8" t="inlineStr">
        <is>
          <t>Run 1</t>
        </is>
      </c>
      <c r="F3" s="8" t="inlineStr">
        <is>
          <t>Finding</t>
        </is>
      </c>
      <c r="G3" s="8" t="inlineStr">
        <is>
          <t>Retest</t>
        </is>
      </c>
      <c r="H3" s="8" t="inlineStr">
        <is>
          <t>Final</t>
        </is>
      </c>
    </row>
    <row r="4">
      <c r="A4" t="inlineStr">
        <is>
          <t>BAT-01</t>
        </is>
      </c>
      <c r="B4" t="inlineStr">
        <is>
          <t>Sailing with 20 orders delayed 6 h</t>
        </is>
      </c>
      <c r="C4" t="inlineStr">
        <is>
          <t>planner</t>
        </is>
      </c>
      <c r="D4" t="inlineStr">
        <is>
          <t>US-01, US-03</t>
        </is>
      </c>
      <c r="E4" t="inlineStr">
        <is>
          <t>pass</t>
        </is>
      </c>
      <c r="F4" t="inlineStr"/>
      <c r="G4" t="inlineStr"/>
      <c r="H4" t="inlineStr">
        <is>
          <t>pass</t>
        </is>
      </c>
    </row>
    <row r="5">
      <c r="A5" t="inlineStr">
        <is>
          <t>BAT-02</t>
        </is>
      </c>
      <c r="B5" t="inlineStr">
        <is>
          <t>8 situations from last month</t>
        </is>
      </c>
      <c r="C5" t="inlineStr">
        <is>
          <t>planner, CS</t>
        </is>
      </c>
      <c r="D5" t="inlineStr">
        <is>
          <t>US-01, US-02</t>
        </is>
      </c>
      <c r="E5" t="inlineStr">
        <is>
          <t>pass</t>
        </is>
      </c>
      <c r="F5" t="inlineStr">
        <is>
          <t>1 rule question (consignee hours) → R2</t>
        </is>
      </c>
      <c r="G5" t="inlineStr"/>
      <c r="H5" t="inlineStr">
        <is>
          <t>pass</t>
        </is>
      </c>
    </row>
    <row r="6">
      <c r="A6" t="inlineStr">
        <is>
          <t>BAT-03</t>
        </is>
      </c>
      <c r="B6" t="inlineStr">
        <is>
          <t>Untouched critical escalates</t>
        </is>
      </c>
      <c r="C6" t="inlineStr">
        <is>
          <t>shift lead</t>
        </is>
      </c>
      <c r="D6" t="inlineStr">
        <is>
          <t>US-03</t>
        </is>
      </c>
      <c r="E6" t="inlineStr">
        <is>
          <t>pass</t>
        </is>
      </c>
      <c r="F6" t="inlineStr">
        <is>
          <t>DEF-05 (minor, known issue)</t>
        </is>
      </c>
      <c r="G6" t="inlineStr"/>
      <c r="H6" t="inlineStr">
        <is>
          <t>pass with known issue</t>
        </is>
      </c>
    </row>
    <row r="7">
      <c r="A7" t="inlineStr">
        <is>
          <t>BAT-04</t>
        </is>
      </c>
      <c r="B7" t="inlineStr">
        <is>
          <t>Acknowledge, new window, resolve</t>
        </is>
      </c>
      <c r="C7" t="inlineStr">
        <is>
          <t>planner</t>
        </is>
      </c>
      <c r="D7" t="inlineStr">
        <is>
          <t>US-04</t>
        </is>
      </c>
      <c r="E7" t="inlineStr">
        <is>
          <t>fail</t>
        </is>
      </c>
      <c r="F7" t="inlineStr">
        <is>
          <t>DEF-03 (minor)</t>
        </is>
      </c>
      <c r="G7" t="inlineStr">
        <is>
          <t>pass</t>
        </is>
      </c>
      <c r="H7" t="inlineStr">
        <is>
          <t>pass</t>
        </is>
      </c>
    </row>
    <row r="8">
      <c r="A8" t="inlineStr">
        <is>
          <t>BAT-05</t>
        </is>
      </c>
      <c r="B8" t="inlineStr">
        <is>
          <t>No status for 7 h</t>
        </is>
      </c>
      <c r="C8" t="inlineStr">
        <is>
          <t>planner</t>
        </is>
      </c>
      <c r="D8" t="inlineStr">
        <is>
          <t>US-08</t>
        </is>
      </c>
      <c r="E8" t="inlineStr">
        <is>
          <t>pass</t>
        </is>
      </c>
      <c r="F8" t="inlineStr"/>
      <c r="G8" t="inlineStr"/>
      <c r="H8" t="inlineStr">
        <is>
          <t>pass</t>
        </is>
      </c>
    </row>
    <row r="9">
      <c r="A9" t="inlineStr">
        <is>
          <t>BAT-06</t>
        </is>
      </c>
      <c r="B9" t="inlineStr">
        <is>
          <t>Critical for key account</t>
        </is>
      </c>
      <c r="C9" t="inlineStr">
        <is>
          <t>AM, CS</t>
        </is>
      </c>
      <c r="D9" t="inlineStr">
        <is>
          <t>US-11</t>
        </is>
      </c>
      <c r="E9" t="inlineStr">
        <is>
          <t>pass</t>
        </is>
      </c>
      <c r="F9" t="inlineStr">
        <is>
          <t>DEF-06 (minor, known issue)</t>
        </is>
      </c>
      <c r="G9" t="inlineStr"/>
      <c r="H9" t="inlineStr">
        <is>
          <t>pass with known issue</t>
        </is>
      </c>
    </row>
    <row r="10">
      <c r="A10" t="inlineStr">
        <is>
          <t>BAT-07</t>
        </is>
      </c>
      <c r="B10" t="inlineStr">
        <is>
          <t>Customer reads the message</t>
        </is>
      </c>
      <c r="C10" t="inlineStr">
        <is>
          <t>pilot customer</t>
        </is>
      </c>
      <c r="D10" t="inlineStr">
        <is>
          <t>US-05</t>
        </is>
      </c>
      <c r="E10" t="inlineStr">
        <is>
          <t>fail</t>
        </is>
      </c>
      <c r="F10" t="inlineStr">
        <is>
          <t>DEF-01 (major)</t>
        </is>
      </c>
      <c r="G10" t="inlineStr">
        <is>
          <t>pass</t>
        </is>
      </c>
      <c r="H10" t="inlineStr">
        <is>
          <t>pass</t>
        </is>
      </c>
    </row>
    <row r="11">
      <c r="A11" t="inlineStr">
        <is>
          <t>BAT-08</t>
        </is>
      </c>
      <c r="B11" t="inlineStr">
        <is>
          <t>Three sailing updates in 10 min</t>
        </is>
      </c>
      <c r="C11" t="inlineStr">
        <is>
          <t>planner, pilot customer</t>
        </is>
      </c>
      <c r="D11" t="inlineStr">
        <is>
          <t>US-07</t>
        </is>
      </c>
      <c r="E11" t="inlineStr">
        <is>
          <t>fail</t>
        </is>
      </c>
      <c r="F11" t="inlineStr">
        <is>
          <t>DEF-04 (major)</t>
        </is>
      </c>
      <c r="G11" t="inlineStr">
        <is>
          <t>pass</t>
        </is>
      </c>
      <c r="H11" t="inlineStr">
        <is>
          <t>pass</t>
        </is>
      </c>
    </row>
    <row r="12">
      <c r="A12" t="inlineStr">
        <is>
          <t>BAT-09</t>
        </is>
      </c>
      <c r="B12" t="inlineStr">
        <is>
          <t>Order without a window</t>
        </is>
      </c>
      <c r="C12" t="inlineStr">
        <is>
          <t>planner</t>
        </is>
      </c>
      <c r="D12" t="inlineStr">
        <is>
          <t>US-01</t>
        </is>
      </c>
      <c r="E12" t="inlineStr">
        <is>
          <t>fail</t>
        </is>
      </c>
      <c r="F12" t="inlineStr">
        <is>
          <t>DEF-02 (major)</t>
        </is>
      </c>
      <c r="G12" t="inlineStr">
        <is>
          <t>pass</t>
        </is>
      </c>
      <c r="H12" t="inlineStr">
        <is>
          <t>pass</t>
        </is>
      </c>
    </row>
    <row r="13">
      <c r="A13" t="inlineStr">
        <is>
          <t>BAT-10</t>
        </is>
      </c>
      <c r="B13" t="inlineStr">
        <is>
          <t>Notified delay recovers</t>
        </is>
      </c>
      <c r="C13" t="inlineStr">
        <is>
          <t>pilot customer</t>
        </is>
      </c>
      <c r="D13" t="inlineStr">
        <is>
          <t>US-10</t>
        </is>
      </c>
      <c r="E13" t="inlineStr">
        <is>
          <t>pass</t>
        </is>
      </c>
      <c r="F13" t="inlineStr"/>
      <c r="G13" t="inlineStr"/>
      <c r="H13" t="inlineStr">
        <is>
          <t>pass</t>
        </is>
      </c>
    </row>
    <row r="14">
      <c r="A14" t="inlineStr">
        <is>
          <t>BAT-11</t>
        </is>
      </c>
      <c r="B14" t="inlineStr">
        <is>
          <t>Pilot export, shadow mode</t>
        </is>
      </c>
      <c r="C14" t="inlineStr">
        <is>
          <t>PO</t>
        </is>
      </c>
      <c r="D14" t="inlineStr">
        <is>
          <t>US-13</t>
        </is>
      </c>
      <c r="E14" t="inlineStr">
        <is>
          <t>pass</t>
        </is>
      </c>
      <c r="F14" t="inlineStr"/>
      <c r="G14" t="inlineStr"/>
      <c r="H14" t="inlineStr">
        <is>
          <t>pass</t>
        </is>
      </c>
    </row>
    <row r="15">
      <c r="A15" t="inlineStr">
        <is>
          <t>BAT-12</t>
        </is>
      </c>
      <c r="B15" t="inlineStr">
        <is>
          <t>Bounced address</t>
        </is>
      </c>
      <c r="C15" t="inlineStr">
        <is>
          <t>CS</t>
        </is>
      </c>
      <c r="D15" t="inlineStr">
        <is>
          <t>US-05</t>
        </is>
      </c>
      <c r="E15" t="inlineStr">
        <is>
          <t>pass</t>
        </is>
      </c>
      <c r="F15" t="inlineStr"/>
      <c r="G15" t="inlineStr"/>
      <c r="H15" t="inlineStr">
        <is>
          <t>pass</t>
        </is>
      </c>
    </row>
    <row r="17">
      <c r="A17" t="inlineStr">
        <is>
          <t>Passed in run 1</t>
        </is>
      </c>
      <c r="B17">
        <f>COUNTIF(E4:E15,"pass")</f>
        <v/>
      </c>
    </row>
    <row r="18">
      <c r="A18" t="inlineStr">
        <is>
          <t>Accepted (final)</t>
        </is>
      </c>
      <c r="B18">
        <f>COUNTIF(H4:H15,"pass*")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24" customWidth="1" min="4" max="4"/>
    <col width="18" customWidth="1" min="5" max="5"/>
    <col width="44" customWidth="1" min="6" max="6"/>
    <col width="18" customWidth="1" min="7" max="7"/>
  </cols>
  <sheetData>
    <row r="1">
      <c r="A1" s="1" t="inlineStr">
        <is>
          <t>Traceability — pain point to KPI</t>
        </is>
      </c>
    </row>
    <row r="3">
      <c r="A3" s="8" t="inlineStr">
        <is>
          <t>Pain</t>
        </is>
      </c>
      <c r="B3" s="8" t="inlineStr">
        <is>
          <t>Business req.</t>
        </is>
      </c>
      <c r="C3" s="8" t="inlineStr">
        <is>
          <t>Functional / NFR</t>
        </is>
      </c>
      <c r="D3" s="8" t="inlineStr">
        <is>
          <t>Rules</t>
        </is>
      </c>
      <c r="E3" s="8" t="inlineStr">
        <is>
          <t>Stories</t>
        </is>
      </c>
      <c r="F3" s="8" t="inlineStr">
        <is>
          <t>Tests</t>
        </is>
      </c>
      <c r="G3" s="8" t="inlineStr">
        <is>
          <t>KPI</t>
        </is>
      </c>
    </row>
    <row r="4">
      <c r="A4" t="inlineStr">
        <is>
          <t>P1 ETAs not updated, nobody evaluates</t>
        </is>
      </c>
      <c r="B4" t="inlineStr">
        <is>
          <t>BR-1</t>
        </is>
      </c>
      <c r="C4" t="inlineStr">
        <is>
          <t>FR-01, FR-03, NFR-01</t>
        </is>
      </c>
      <c r="D4" t="inlineStr">
        <is>
          <t>ER-01</t>
        </is>
      </c>
      <c r="E4" t="inlineStr">
        <is>
          <t>US-01</t>
        </is>
      </c>
      <c r="F4" t="inlineStr">
        <is>
          <t>AC-01.1–01.2, BAT-01</t>
        </is>
      </c>
      <c r="G4" t="inlineStr">
        <is>
          <t>K2</t>
        </is>
      </c>
    </row>
    <row r="5">
      <c r="A5" t="inlineStr">
        <is>
          <t>P2 noticed by chance</t>
        </is>
      </c>
      <c r="B5" t="inlineStr">
        <is>
          <t>BR-4</t>
        </is>
      </c>
      <c r="C5" t="inlineStr">
        <is>
          <t>FR-02, FR-04, FR-07</t>
        </is>
      </c>
      <c r="D5" t="inlineStr">
        <is>
          <t>ER-02–ER-05, ER-08, ER-09</t>
        </is>
      </c>
      <c r="E5" t="inlineStr">
        <is>
          <t>US-02, US-03</t>
        </is>
      </c>
      <c r="F5" t="inlineStr">
        <is>
          <t>AC-01.3–01.12, AC-02.1, BAT-02, BAT-03</t>
        </is>
      </c>
      <c r="G5" t="inlineStr">
        <is>
          <t>K6</t>
        </is>
      </c>
    </row>
    <row r="6">
      <c r="A6" t="inlineStr">
        <is>
          <t>P3 Excel lookup</t>
        </is>
      </c>
      <c r="B6" t="inlineStr">
        <is>
          <t>BR-4</t>
        </is>
      </c>
      <c r="C6" t="inlineStr">
        <is>
          <t>FR-04</t>
        </is>
      </c>
      <c r="D6" t="inlineStr">
        <is>
          <t>ER-08</t>
        </is>
      </c>
      <c r="E6" t="inlineStr">
        <is>
          <t>US-03</t>
        </is>
      </c>
      <c r="F6" t="inlineStr">
        <is>
          <t>BAT-03</t>
        </is>
      </c>
      <c r="G6" t="inlineStr">
        <is>
          <t>guardrail workload</t>
        </is>
      </c>
    </row>
    <row r="7">
      <c r="A7" t="inlineStr">
        <is>
          <t>P4 only key accounts whose AM knows</t>
        </is>
      </c>
      <c r="B7" t="inlineStr">
        <is>
          <t>BR-1</t>
        </is>
      </c>
      <c r="C7" t="inlineStr">
        <is>
          <t>FR-06, FR-13</t>
        </is>
      </c>
      <c r="D7" t="inlineStr">
        <is>
          <t>ER-10, ER-11</t>
        </is>
      </c>
      <c r="E7" t="inlineStr">
        <is>
          <t>US-05, US-11</t>
        </is>
      </c>
      <c r="F7" t="inlineStr">
        <is>
          <t>AC-11.1–11.3, BAT-06</t>
        </is>
      </c>
      <c r="G7" t="inlineStr">
        <is>
          <t>K1</t>
        </is>
      </c>
    </row>
    <row r="8">
      <c r="A8" t="inlineStr">
        <is>
          <t>P5 customer finds out at the slot</t>
        </is>
      </c>
      <c r="B8" t="inlineStr">
        <is>
          <t>BR-1, BR-2</t>
        </is>
      </c>
      <c r="C8" t="inlineStr">
        <is>
          <t>FR-06, FR-10, FR-11</t>
        </is>
      </c>
      <c r="D8" t="inlineStr">
        <is>
          <t>ER-10, ER-12, ER-13</t>
        </is>
      </c>
      <c r="E8" t="inlineStr">
        <is>
          <t>US-05, US-07, US-10</t>
        </is>
      </c>
      <c r="F8" t="inlineStr">
        <is>
          <t>AC-07.1–07.5, AC-10.1–10.2, BAT-07, BAT-08, BAT-10</t>
        </is>
      </c>
      <c r="G8" t="inlineStr">
        <is>
          <t>K1, K3, K8</t>
        </is>
      </c>
    </row>
    <row r="9">
      <c r="A9" t="inlineStr">
        <is>
          <t>(new) false alarms on missing status</t>
        </is>
      </c>
      <c r="B9" t="inlineStr">
        <is>
          <t>BR-4</t>
        </is>
      </c>
      <c r="C9" t="inlineStr">
        <is>
          <t>FR-08</t>
        </is>
      </c>
      <c r="D9" t="inlineStr">
        <is>
          <t>ER-07</t>
        </is>
      </c>
      <c r="E9" t="inlineStr">
        <is>
          <t>US-08</t>
        </is>
      </c>
      <c r="F9" t="inlineStr">
        <is>
          <t>AC-08.1–08.4, BAT-05</t>
        </is>
      </c>
      <c r="G9" t="inlineStr">
        <is>
          <t>K7</t>
        </is>
      </c>
    </row>
    <row r="10">
      <c r="A10" t="inlineStr">
        <is>
          <t>P6 nothing recorded</t>
        </is>
      </c>
      <c r="B10" t="inlineStr">
        <is>
          <t>BR-5</t>
        </is>
      </c>
      <c r="C10" t="inlineStr">
        <is>
          <t>FR-05, FR-12</t>
        </is>
      </c>
      <c r="D10" t="inlineStr">
        <is>
          <t>—</t>
        </is>
      </c>
      <c r="E10" t="inlineStr">
        <is>
          <t>US-04, US-13</t>
        </is>
      </c>
      <c r="F10" t="inlineStr">
        <is>
          <t>BAT-04, BAT-11</t>
        </is>
      </c>
      <c r="G10" t="inlineStr">
        <is>
          <t>reason completeness</t>
        </is>
      </c>
    </row>
    <row r="11">
      <c r="A11" t="inlineStr">
        <is>
          <t>missed slots</t>
        </is>
      </c>
      <c r="B11" t="inlineStr">
        <is>
          <t>BR-3</t>
        </is>
      </c>
      <c r="C11" t="inlineStr">
        <is>
          <t>FR-05</t>
        </is>
      </c>
      <c r="D11" t="inlineStr">
        <is>
          <t>ER-03</t>
        </is>
      </c>
      <c r="E11" t="inlineStr">
        <is>
          <t>US-04</t>
        </is>
      </c>
      <c r="F11" t="inlineStr">
        <is>
          <t>AC-01.9, BAT-04</t>
        </is>
      </c>
      <c r="G11" t="inlineStr">
        <is>
          <t>K4, K5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2026-10-09T18:46:45Z</dcterms:created>
  <dcterms:modified xmlns:dcterms="http://purl.org/dc/terms/" xmlns:xsi="http://www.w3.org/2001/XMLSchema-instance" xsi:type="dcterms:W3CDTF">2026-10-09T18:46:45Z</dcterms:modified>
</cp:coreProperties>
</file>